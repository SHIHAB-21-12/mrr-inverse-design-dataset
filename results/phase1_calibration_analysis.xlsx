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 Calibration Result" sheetId="1" state="visible" r:id="rId3"/>
    <sheet name="2 Physics Cross-Check" sheetId="2" state="visible" r:id="rId4"/>
    <sheet name="3 Runtime vs Thresholds" sheetId="3" state="visible" r:id="rId5"/>
    <sheet name="4 2D vs 3D Offse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<sst xmlns="http://schemas.openxmlformats.org/spreadsheetml/2006/main" count="188" uniqueCount="141">
  <si>
    <t xml:space="preserve">Phase 1.6 - Calibration Run: effect of fixing the time window and spectral grid</t>
  </si>
  <si>
    <t xml:space="preserve">Same geometry both runs: R=10 um, w=450 nm, g=200 nm, Lc=1.5 um, 2-D FDTD, mesh override d=32 nm.</t>
  </si>
  <si>
    <t xml:space="preserve">Blue = measured value read from the run. Black = calculated in-sheet.</t>
  </si>
  <si>
    <t xml:space="preserve">Quantity</t>
  </si>
  <si>
    <t xml:space="preserve">Unit</t>
  </si>
  <si>
    <t xml:space="preserve">Before
50 ps / 2001 pts</t>
  </si>
  <si>
    <t xml:space="preserve">After
600 ps / 20001 pts</t>
  </si>
  <si>
    <t xml:space="preserve">Ratio
(after / before)</t>
  </si>
  <si>
    <t xml:space="preserve">Comment</t>
  </si>
  <si>
    <t xml:space="preserve">Resonance wavelength</t>
  </si>
  <si>
    <t xml:space="preserve">nm</t>
  </si>
  <si>
    <t xml:space="preserve">grid-limited before; sub-grid interpolated after</t>
  </si>
  <si>
    <t xml:space="preserve">Drop-port peak transmission</t>
  </si>
  <si>
    <t xml:space="preserve">-</t>
  </si>
  <si>
    <t xml:space="preserve">cavity had not emptied into the drop port</t>
  </si>
  <si>
    <t xml:space="preserve">Insertion loss (Eq. 7)</t>
  </si>
  <si>
    <t xml:space="preserve">dB</t>
  </si>
  <si>
    <t xml:space="preserve">understated by 7.46 dB</t>
  </si>
  <si>
    <t xml:space="preserve">FWHM</t>
  </si>
  <si>
    <t xml:space="preserve">before = DFT window width, not the line</t>
  </si>
  <si>
    <t xml:space="preserve">Loaded Q (Eq. 5)</t>
  </si>
  <si>
    <t xml:space="preserve">understated 5x</t>
  </si>
  <si>
    <t xml:space="preserve">Free spectral range</t>
  </si>
  <si>
    <t xml:space="preserve">unaffected - FSR is not linewidth-limited</t>
  </si>
  <si>
    <t xml:space="preserve">Resonances found in window</t>
  </si>
  <si>
    <t xml:space="preserve">count</t>
  </si>
  <si>
    <t xml:space="preserve">finer grid resolves more peaks</t>
  </si>
  <si>
    <t xml:space="preserve">Verification lines reported by the run</t>
  </si>
  <si>
    <t xml:space="preserve">Check</t>
  </si>
  <si>
    <t xml:space="preserve">Value</t>
  </si>
  <si>
    <t xml:space="preserve">Requirement</t>
  </si>
  <si>
    <t xml:space="preserve">Status</t>
  </si>
  <si>
    <t xml:space="preserve">DFT grid spacing (nm)</t>
  </si>
  <si>
    <t xml:space="preserve">fine enough to sample the line</t>
  </si>
  <si>
    <t xml:space="preserve">Points across FWHM</t>
  </si>
  <si>
    <t xml:space="preserve">&gt;= 5</t>
  </si>
  <si>
    <t xml:space="preserve">Transform limit at 600 ps (nm)</t>
  </si>
  <si>
    <t xml:space="preserve">informational</t>
  </si>
  <si>
    <t xml:space="preserve">FWHM / transform limit</t>
  </si>
  <si>
    <t xml:space="preserve">&gt;= 3 if the run used the full window</t>
  </si>
  <si>
    <t xml:space="preserve">Runtime (min)</t>
  </si>
  <si>
    <t xml:space="preserve">NOTE on the 'FWHM / transform limit' check: it compares against the 600 ps window that was SET. Runtime of 149 min against a projected ~207 min for the full window indicates auto-shutoff ended the run early (~430 ps). That criterion only applies to truncating a still-ringing field; if auto-shutoff reached 1e-5 the field had decayed and the measured width is the true Lorentzian. CONFIRM from the solver log before relying on this row.</t>
  </si>
  <si>
    <t xml:space="preserve">Self-consistency of the calibration result against Eqs. 3, 4 and 6</t>
  </si>
  <si>
    <t xml:space="preserve">Eqs. 3, 4 and 6 are independent relations. If the extraction is correct they must agree and must imply a physically plausible propagation loss. Everything below is calculated live from the four blue measured inputs.</t>
  </si>
  <si>
    <t xml:space="preserve">Symbol</t>
  </si>
  <si>
    <t xml:space="preserve">Description</t>
  </si>
  <si>
    <t xml:space="preserve">Source / formula</t>
  </si>
  <si>
    <t xml:space="preserve">lambda_res</t>
  </si>
  <si>
    <t xml:space="preserve">measured, calibration run</t>
  </si>
  <si>
    <t xml:space="preserve">T_peak</t>
  </si>
  <si>
    <t xml:space="preserve">Linewidth</t>
  </si>
  <si>
    <t xml:space="preserve">FSR</t>
  </si>
  <si>
    <t xml:space="preserve">L</t>
  </si>
  <si>
    <t xml:space="preserve">Round-trip length</t>
  </si>
  <si>
    <t xml:space="preserve">Eq. 1, geometry: 2*pi*R + 2*Lc</t>
  </si>
  <si>
    <t xml:space="preserve">Derived quantities</t>
  </si>
  <si>
    <t xml:space="preserve">Formula used</t>
  </si>
  <si>
    <t xml:space="preserve">n_g</t>
  </si>
  <si>
    <t xml:space="preserve">Group index (2-D)</t>
  </si>
  <si>
    <t xml:space="preserve">Eq. 4 rearranged: n_g = lambda_res^2 / (FSR * L)</t>
  </si>
  <si>
    <t xml:space="preserve">Q_L</t>
  </si>
  <si>
    <t xml:space="preserve">Loaded Q from linewidth</t>
  </si>
  <si>
    <t xml:space="preserve">Eq. 5: lambda_res / FWHM</t>
  </si>
  <si>
    <t xml:space="preserve">K</t>
  </si>
  <si>
    <t xml:space="preserve">Eq. 6 prefactor</t>
  </si>
  <si>
    <t xml:space="preserve">K = pi * n_g * L / lambda_res, so Q_L = K*sqrt(x)/(1-x)</t>
  </si>
  <si>
    <t xml:space="preserve">R6</t>
  </si>
  <si>
    <t xml:space="preserve">Q_L / K</t>
  </si>
  <si>
    <t xml:space="preserve">equals sqrt(x)/(1-x); solve the quadratic below</t>
  </si>
  <si>
    <t xml:space="preserve">u</t>
  </si>
  <si>
    <t xml:space="preserve">sqrt(t1*t2*a)</t>
  </si>
  <si>
    <t xml:space="preserve">root of R6*u^2 + u - R6 = 0</t>
  </si>
  <si>
    <t xml:space="preserve">x = t1t2a</t>
  </si>
  <si>
    <t xml:space="preserve">Round-trip field survival</t>
  </si>
  <si>
    <t xml:space="preserve">x = u^2</t>
  </si>
  <si>
    <t xml:space="preserve">B</t>
  </si>
  <si>
    <t xml:space="preserve">(1-t^2)/t</t>
  </si>
  <si>
    <t xml:space="preserve">from Eq. 3 at resonance with t1=t2=t and a=x/t^2</t>
  </si>
  <si>
    <t xml:space="preserve">t</t>
  </si>
  <si>
    <t xml:space="preserve">Self-coupling coefficient</t>
  </si>
  <si>
    <t xml:space="preserve">root of t^2 + B*t - 1 = 0</t>
  </si>
  <si>
    <t xml:space="preserve">a</t>
  </si>
  <si>
    <t xml:space="preserve">Round-trip amplitude transmission</t>
  </si>
  <si>
    <t xml:space="preserve">a = x / t^2</t>
  </si>
  <si>
    <t xml:space="preserve">kappa^2</t>
  </si>
  <si>
    <t xml:space="preserve">Power coupling per coupler</t>
  </si>
  <si>
    <t xml:space="preserve">kappa^2 + t^2 = 1 (lossless coupler)</t>
  </si>
  <si>
    <t xml:space="preserve">alpha</t>
  </si>
  <si>
    <t xml:space="preserve">Propagation loss</t>
  </si>
  <si>
    <t xml:space="preserve">dB/cm</t>
  </si>
  <si>
    <t xml:space="preserve">alpha = 4.343 * 2 * (-ln a) / L, with L converted nm -&gt; cm</t>
  </si>
  <si>
    <t xml:space="preserve">Benchmark</t>
  </si>
  <si>
    <t xml:space="preserve">Paper 11 (Tang et al. 2024) measured propagation loss on a fabricated 440x220 nm SOI TE ring</t>
  </si>
  <si>
    <t xml:space="preserve">Source: Paper 11, reference [11] in the thesis bibliography</t>
  </si>
  <si>
    <t xml:space="preserve">Difference between this calibration and the measured benchmark</t>
  </si>
  <si>
    <t xml:space="preserve">Eqs. 3, 4 and 6 agree with each other and land near a literature value</t>
  </si>
  <si>
    <t xml:space="preserve">Measured runtime against the Phase 1.6 sub-study 1 decision rule</t>
  </si>
  <si>
    <t xml:space="preserve">Measured at the COARSEST mesh (d = 32 nm) in 2-D. Sub-study 2 showed convergence is not reached even at d = 8 nm, which was ~7x slower again before the window was lengthened.</t>
  </si>
  <si>
    <t xml:space="preserve">Item</t>
  </si>
  <si>
    <t xml:space="preserve">Source</t>
  </si>
  <si>
    <t xml:space="preserve">Measured runtime per sample (2-D, d = 32 nm)</t>
  </si>
  <si>
    <t xml:space="preserve">min</t>
  </si>
  <si>
    <t xml:space="preserve">calibration run</t>
  </si>
  <si>
    <t xml:space="preserve">Target threshold</t>
  </si>
  <si>
    <t xml:space="preserve">Phase 1.6 sub-study 1 decision rule</t>
  </si>
  <si>
    <t xml:space="preserve">Downgrade trigger threshold</t>
  </si>
  <si>
    <t xml:space="preserve">Phase 1.6: &gt;25 min/sample triggers Section 7 fallback</t>
  </si>
  <si>
    <t xml:space="preserve">Dataset floor (Objective O1 minimum)</t>
  </si>
  <si>
    <t xml:space="preserve">samples</t>
  </si>
  <si>
    <t xml:space="preserve">Objective O1</t>
  </si>
  <si>
    <t xml:space="preserve">Dataset target</t>
  </si>
  <si>
    <t xml:space="preserve">Phase 1.5 step 4</t>
  </si>
  <si>
    <t xml:space="preserve">Consequences</t>
  </si>
  <si>
    <t xml:space="preserve">Formula</t>
  </si>
  <si>
    <t xml:space="preserve">Over the 15 min target by</t>
  </si>
  <si>
    <t xml:space="preserve">x</t>
  </si>
  <si>
    <t xml:space="preserve">runtime / target</t>
  </si>
  <si>
    <t xml:space="preserve">Over the 25 min trigger by</t>
  </si>
  <si>
    <t xml:space="preserve">runtime / trigger</t>
  </si>
  <si>
    <t xml:space="preserve">Continuous compute for N = 800</t>
  </si>
  <si>
    <t xml:space="preserve">days</t>
  </si>
  <si>
    <t xml:space="preserve">runtime * N / 60 / 24</t>
  </si>
  <si>
    <t xml:space="preserve">Continuous compute for N = 1000</t>
  </si>
  <si>
    <t xml:space="preserve">Per-sample runtime needed for N=800 in 28 days at 8 h/day</t>
  </si>
  <si>
    <t xml:space="preserve">Phase 1.6 assumes ~8 unattended batch hours/day over the 4-week window</t>
  </si>
  <si>
    <t xml:space="preserve">Verdict</t>
  </si>
  <si>
    <t xml:space="preserve">2-D vs 3-D discrepancy - the validity concern, separate from runtime</t>
  </si>
  <si>
    <t xml:space="preserve">Section 7 requires the systematic 2-D vs 3-D offset to be quantified with a 100-150 sample 3-D subset. These are the first two data points. The 3-D Q is ESTIMATED from the energy-decay constant in the solver log, not measured from a linewidth - the 3-D run was stopped at 14.19%.</t>
  </si>
  <si>
    <t xml:space="preserve">2-D (measured)</t>
  </si>
  <si>
    <t xml:space="preserve">3-D</t>
  </si>
  <si>
    <t xml:space="preserve">Ratio 2-D / 3-D</t>
  </si>
  <si>
    <t xml:space="preserve">Basis of the 3-D figure</t>
  </si>
  <si>
    <t xml:space="preserve">Group index n_g</t>
  </si>
  <si>
    <t xml:space="preserve">nominal value fixed in Phase 1.2; Paper 11 measured 4.35</t>
  </si>
  <si>
    <t xml:space="preserve">Loaded Q</t>
  </si>
  <si>
    <t xml:space="preserve">ESTIMATED: Q = omega*tau with tau = 3.9 ps from the 3-D log decay</t>
  </si>
  <si>
    <t xml:space="preserve">Energy decay constant tau</t>
  </si>
  <si>
    <t xml:space="preserve">both from Auto Shutoff decay in the respective solver logs</t>
  </si>
  <si>
    <t xml:space="preserve">WHY THIS MATTERS: 2-D FDTD has no vertical radiation loss, so it overstates Q by roughly an order of magnitude. A 2-D dataset would teach the ML models a quality factor that is ~10x wrong. Under Section 7 the offset must be quantified rather than ignored - but at this size it is a dominant correction, not a small one. This is a validity concern about 2-D for this device, distinct from the runtime problem on sheet 3.</t>
  </si>
  <si>
    <t xml:space="preserve">Open decision</t>
  </si>
  <si>
    <t xml:space="preserve">Both the runtime result (sheet 3) and the offset above point to Section 7's dual-fidelity analytical/CMT rung. Sheet 2 shows why it is now viable: a short coupler-only FDTD run supplies t and a, after which Eqs. 2, 3, 5 and 6 generate the full response in milliseconds.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</si>
</sst>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0000"/>
    <numFmt numFmtId="166" formatCode="0.00\x"/>
    <numFmt numFmtId="167" formatCode="0.0"/>
    <numFmt numFmtId="168" formatCode="0.00"/>
    <numFmt numFmtId="169" formatCode="0.000000"/>
    <numFmt numFmtId="170" formatCode="#,##0.0"/>
    <numFmt numFmtId="171" formatCode="#,##0.00"/>
    <numFmt numFmtId="172" formatCode="0.000"/>
    <numFmt numFmtId="173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C376E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C376E"/>
        <bgColor rgb="FF333399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CCFFFF"/>
      </patternFill>
    </fill>
    <fill>
      <patternFill patternType="solid">
        <fgColor rgb="FFF4CCCC"/>
        <bgColor rgb="FFD9EAD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C376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"/>
    <col collapsed="false" customWidth="true" hidden="false" outlineLevel="0" max="4" min="3" style="0" width="20"/>
    <col collapsed="false" customWidth="true" hidden="false" outlineLevel="0" max="5" min="5" style="0" width="16"/>
    <col collapsed="false" customWidth="true" hidden="false" outlineLevel="0" max="6" min="6" style="0" width="5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23.8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</row>
    <row r="6" customFormat="false" ht="15" hidden="false" customHeight="false" outlineLevel="0" collapsed="false">
      <c r="A6" s="4" t="s">
        <v>9</v>
      </c>
      <c r="B6" s="4" t="s">
        <v>10</v>
      </c>
      <c r="C6" s="5" t="n">
        <v>1545.45</v>
      </c>
      <c r="D6" s="5" t="n">
        <v>1545.4464</v>
      </c>
      <c r="E6" s="6" t="n">
        <f aca="false">IF(C6=0,"",D6/C6)</f>
        <v>0.999997670581384</v>
      </c>
      <c r="F6" s="7" t="s">
        <v>11</v>
      </c>
    </row>
    <row r="7" customFormat="false" ht="15" hidden="false" customHeight="false" outlineLevel="0" collapsed="false">
      <c r="A7" s="4" t="s">
        <v>12</v>
      </c>
      <c r="B7" s="4" t="s">
        <v>13</v>
      </c>
      <c r="C7" s="5" t="n">
        <v>0.140830579818614</v>
      </c>
      <c r="D7" s="5" t="n">
        <v>0.78407</v>
      </c>
      <c r="E7" s="6" t="n">
        <f aca="false">IF(C7=0,"",D7/C7)</f>
        <v>5.56746979959794</v>
      </c>
      <c r="F7" s="7" t="s">
        <v>14</v>
      </c>
    </row>
    <row r="8" customFormat="false" ht="15" hidden="false" customHeight="false" outlineLevel="0" collapsed="false">
      <c r="A8" s="4" t="s">
        <v>15</v>
      </c>
      <c r="B8" s="4" t="s">
        <v>16</v>
      </c>
      <c r="C8" s="8" t="n">
        <v>8.51303032661919</v>
      </c>
      <c r="D8" s="8" t="n">
        <v>1.0564</v>
      </c>
      <c r="E8" s="6" t="n">
        <f aca="false">IF(C8=0,"",D8/C8)</f>
        <v>0.124092122248968</v>
      </c>
      <c r="F8" s="7" t="s">
        <v>17</v>
      </c>
    </row>
    <row r="9" customFormat="false" ht="15" hidden="false" customHeight="false" outlineLevel="0" collapsed="false">
      <c r="A9" s="4" t="s">
        <v>18</v>
      </c>
      <c r="B9" s="4" t="s">
        <v>10</v>
      </c>
      <c r="C9" s="5" t="n">
        <v>0.144975743438695</v>
      </c>
      <c r="D9" s="5" t="n">
        <v>0.02866</v>
      </c>
      <c r="E9" s="6" t="n">
        <f aca="false">IF(C9=0,"",D9/C9)</f>
        <v>0.197688243013697</v>
      </c>
      <c r="F9" s="7" t="s">
        <v>19</v>
      </c>
    </row>
    <row r="10" customFormat="false" ht="15" hidden="false" customHeight="false" outlineLevel="0" collapsed="false">
      <c r="A10" s="4" t="s">
        <v>20</v>
      </c>
      <c r="B10" s="4" t="s">
        <v>13</v>
      </c>
      <c r="C10" s="5" t="n">
        <v>10660.0591474361</v>
      </c>
      <c r="D10" s="5" t="n">
        <v>53916.7</v>
      </c>
      <c r="E10" s="6" t="n">
        <f aca="false">IF(C10=0,"",D10/C10)</f>
        <v>5.05782371882692</v>
      </c>
      <c r="F10" s="7" t="s">
        <v>21</v>
      </c>
    </row>
    <row r="11" customFormat="false" ht="15" hidden="false" customHeight="false" outlineLevel="0" collapsed="false">
      <c r="A11" s="4" t="s">
        <v>22</v>
      </c>
      <c r="B11" s="4" t="s">
        <v>10</v>
      </c>
      <c r="C11" s="5" t="n">
        <v>9.20000000000027</v>
      </c>
      <c r="D11" s="5" t="n">
        <v>9.195</v>
      </c>
      <c r="E11" s="6" t="n">
        <f aca="false">IF(C11=0,"",D11/C11)</f>
        <v>0.999456521739101</v>
      </c>
      <c r="F11" s="7" t="s">
        <v>23</v>
      </c>
    </row>
    <row r="12" customFormat="false" ht="15" hidden="false" customHeight="false" outlineLevel="0" collapsed="false">
      <c r="A12" s="4" t="s">
        <v>24</v>
      </c>
      <c r="B12" s="4" t="s">
        <v>25</v>
      </c>
      <c r="C12" s="8" t="n">
        <v>11</v>
      </c>
      <c r="D12" s="8" t="n">
        <v>19</v>
      </c>
      <c r="E12" s="6" t="n">
        <f aca="false">IF(C12=0,"",D12/C12)</f>
        <v>1.72727272727273</v>
      </c>
      <c r="F12" s="7" t="s">
        <v>26</v>
      </c>
    </row>
    <row r="15" customFormat="false" ht="15" hidden="false" customHeight="false" outlineLevel="0" collapsed="false">
      <c r="A15" s="9" t="s">
        <v>27</v>
      </c>
    </row>
    <row r="16" customFormat="false" ht="15" hidden="false" customHeight="false" outlineLevel="0" collapsed="false">
      <c r="A16" s="3" t="s">
        <v>28</v>
      </c>
      <c r="B16" s="3" t="s">
        <v>29</v>
      </c>
      <c r="C16" s="3" t="s">
        <v>30</v>
      </c>
      <c r="D16" s="3" t="s">
        <v>31</v>
      </c>
    </row>
    <row r="17" customFormat="false" ht="15" hidden="false" customHeight="false" outlineLevel="0" collapsed="false">
      <c r="A17" s="4" t="s">
        <v>32</v>
      </c>
      <c r="B17" s="8" t="n">
        <v>0.005</v>
      </c>
      <c r="C17" s="4" t="s">
        <v>33</v>
      </c>
      <c r="D17" s="10"/>
    </row>
    <row r="18" customFormat="false" ht="15" hidden="false" customHeight="false" outlineLevel="0" collapsed="false">
      <c r="A18" s="4" t="s">
        <v>34</v>
      </c>
      <c r="B18" s="11" t="n">
        <f aca="false">D9/B17</f>
        <v>5.732</v>
      </c>
      <c r="C18" s="4" t="s">
        <v>35</v>
      </c>
      <c r="D18" s="4" t="str">
        <f aca="false">IF(B18&gt;=5,"PASS","FAIL")</f>
        <v>PASS</v>
      </c>
    </row>
    <row r="19" customFormat="false" ht="15" hidden="false" customHeight="false" outlineLevel="0" collapsed="false">
      <c r="A19" s="4" t="s">
        <v>36</v>
      </c>
      <c r="B19" s="8" t="n">
        <v>0.01176</v>
      </c>
      <c r="C19" s="4" t="s">
        <v>37</v>
      </c>
      <c r="D19" s="10"/>
    </row>
    <row r="20" customFormat="false" ht="15" hidden="false" customHeight="false" outlineLevel="0" collapsed="false">
      <c r="A20" s="4" t="s">
        <v>38</v>
      </c>
      <c r="B20" s="12" t="n">
        <f aca="false">D9/B19</f>
        <v>2.43707482993197</v>
      </c>
      <c r="C20" s="4" t="s">
        <v>39</v>
      </c>
      <c r="D20" s="4" t="str">
        <f aca="false">IF(B20&gt;=3,"PASS","see note")</f>
        <v>see note</v>
      </c>
    </row>
    <row r="21" customFormat="false" ht="15" hidden="false" customHeight="false" outlineLevel="0" collapsed="false">
      <c r="A21" s="4" t="s">
        <v>40</v>
      </c>
      <c r="B21" s="8" t="n">
        <v>149</v>
      </c>
      <c r="C21" s="4" t="s">
        <v>13</v>
      </c>
      <c r="D21" s="10"/>
    </row>
    <row r="23" customFormat="false" ht="57.75" hidden="false" customHeight="true" outlineLevel="0" collapsed="false">
      <c r="A23" s="13" t="s">
        <v>41</v>
      </c>
      <c r="B23" s="13"/>
      <c r="C23" s="13"/>
      <c r="D23" s="13"/>
      <c r="E23" s="13"/>
      <c r="F23" s="13"/>
    </row>
  </sheetData>
  <mergeCells count="1">
    <mergeCell ref="A23:F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6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62"/>
  </cols>
  <sheetData>
    <row r="1" customFormat="false" ht="16.15" hidden="false" customHeight="false" outlineLevel="0" collapsed="false">
      <c r="A1" s="1" t="s">
        <v>42</v>
      </c>
    </row>
    <row r="2" customFormat="false" ht="30" hidden="false" customHeight="true" outlineLevel="0" collapsed="false">
      <c r="A2" s="14" t="s">
        <v>43</v>
      </c>
      <c r="B2" s="14"/>
      <c r="C2" s="14"/>
      <c r="D2" s="14"/>
      <c r="E2" s="14"/>
    </row>
    <row r="4" customFormat="false" ht="15" hidden="false" customHeight="false" outlineLevel="0" collapsed="false">
      <c r="A4" s="3" t="s">
        <v>44</v>
      </c>
      <c r="B4" s="3" t="s">
        <v>45</v>
      </c>
      <c r="C4" s="3" t="s">
        <v>29</v>
      </c>
      <c r="D4" s="3" t="s">
        <v>4</v>
      </c>
      <c r="E4" s="3" t="s">
        <v>46</v>
      </c>
    </row>
    <row r="5" customFormat="false" ht="15" hidden="false" customHeight="false" outlineLevel="0" collapsed="false">
      <c r="A5" s="15" t="s">
        <v>47</v>
      </c>
      <c r="B5" s="4" t="s">
        <v>9</v>
      </c>
      <c r="C5" s="5" t="n">
        <v>1545.4464</v>
      </c>
      <c r="D5" s="4" t="s">
        <v>10</v>
      </c>
      <c r="E5" s="7" t="s">
        <v>48</v>
      </c>
    </row>
    <row r="6" customFormat="false" ht="15" hidden="false" customHeight="false" outlineLevel="0" collapsed="false">
      <c r="A6" s="15" t="s">
        <v>49</v>
      </c>
      <c r="B6" s="4" t="s">
        <v>12</v>
      </c>
      <c r="C6" s="8" t="n">
        <v>0.78407</v>
      </c>
      <c r="D6" s="4" t="s">
        <v>13</v>
      </c>
      <c r="E6" s="7" t="s">
        <v>48</v>
      </c>
    </row>
    <row r="7" customFormat="false" ht="15" hidden="false" customHeight="false" outlineLevel="0" collapsed="false">
      <c r="A7" s="15" t="s">
        <v>18</v>
      </c>
      <c r="B7" s="4" t="s">
        <v>50</v>
      </c>
      <c r="C7" s="8" t="n">
        <v>0.02866</v>
      </c>
      <c r="D7" s="4" t="s">
        <v>10</v>
      </c>
      <c r="E7" s="7" t="s">
        <v>48</v>
      </c>
    </row>
    <row r="8" customFormat="false" ht="15" hidden="false" customHeight="false" outlineLevel="0" collapsed="false">
      <c r="A8" s="15" t="s">
        <v>51</v>
      </c>
      <c r="B8" s="4" t="s">
        <v>22</v>
      </c>
      <c r="C8" s="8" t="n">
        <v>9.195</v>
      </c>
      <c r="D8" s="4" t="s">
        <v>10</v>
      </c>
      <c r="E8" s="7" t="s">
        <v>48</v>
      </c>
    </row>
    <row r="9" customFormat="false" ht="15" hidden="false" customHeight="false" outlineLevel="0" collapsed="false">
      <c r="A9" s="15" t="s">
        <v>52</v>
      </c>
      <c r="B9" s="4" t="s">
        <v>53</v>
      </c>
      <c r="C9" s="8" t="n">
        <v>65831.9</v>
      </c>
      <c r="D9" s="4" t="s">
        <v>10</v>
      </c>
      <c r="E9" s="7" t="s">
        <v>54</v>
      </c>
    </row>
    <row r="11" customFormat="false" ht="15" hidden="false" customHeight="false" outlineLevel="0" collapsed="false">
      <c r="A11" s="9" t="s">
        <v>55</v>
      </c>
    </row>
    <row r="12" customFormat="false" ht="15" hidden="false" customHeight="false" outlineLevel="0" collapsed="false">
      <c r="A12" s="3" t="s">
        <v>44</v>
      </c>
      <c r="B12" s="3" t="s">
        <v>45</v>
      </c>
      <c r="C12" s="3" t="s">
        <v>29</v>
      </c>
      <c r="D12" s="3" t="s">
        <v>4</v>
      </c>
      <c r="E12" s="3" t="s">
        <v>56</v>
      </c>
    </row>
    <row r="13" customFormat="false" ht="15" hidden="false" customHeight="false" outlineLevel="0" collapsed="false">
      <c r="A13" s="15" t="s">
        <v>57</v>
      </c>
      <c r="B13" s="4" t="s">
        <v>58</v>
      </c>
      <c r="C13" s="16" t="n">
        <f aca="false">C5^2/(C8*C9)</f>
        <v>3.94566101903874</v>
      </c>
      <c r="D13" s="4" t="s">
        <v>13</v>
      </c>
      <c r="E13" s="7" t="s">
        <v>59</v>
      </c>
    </row>
    <row r="14" customFormat="false" ht="15" hidden="false" customHeight="false" outlineLevel="0" collapsed="false">
      <c r="A14" s="15" t="s">
        <v>60</v>
      </c>
      <c r="B14" s="4" t="s">
        <v>61</v>
      </c>
      <c r="C14" s="17" t="n">
        <f aca="false">C5/C7</f>
        <v>53923.4612700628</v>
      </c>
      <c r="D14" s="4" t="s">
        <v>13</v>
      </c>
      <c r="E14" s="7" t="s">
        <v>62</v>
      </c>
    </row>
    <row r="15" customFormat="false" ht="15" hidden="false" customHeight="false" outlineLevel="0" collapsed="false">
      <c r="A15" s="15" t="s">
        <v>63</v>
      </c>
      <c r="B15" s="4" t="s">
        <v>64</v>
      </c>
      <c r="C15" s="18" t="n">
        <f aca="false">PI()*C13*C9/C5</f>
        <v>528.02208338845</v>
      </c>
      <c r="D15" s="4" t="s">
        <v>13</v>
      </c>
      <c r="E15" s="7" t="s">
        <v>65</v>
      </c>
    </row>
    <row r="16" customFormat="false" ht="15" hidden="false" customHeight="false" outlineLevel="0" collapsed="false">
      <c r="A16" s="15" t="s">
        <v>66</v>
      </c>
      <c r="B16" s="4" t="s">
        <v>67</v>
      </c>
      <c r="C16" s="16" t="n">
        <f aca="false">C14/C15</f>
        <v>102.123496282622</v>
      </c>
      <c r="D16" s="4" t="s">
        <v>13</v>
      </c>
      <c r="E16" s="7" t="s">
        <v>68</v>
      </c>
    </row>
    <row r="17" customFormat="false" ht="15" hidden="false" customHeight="false" outlineLevel="0" collapsed="false">
      <c r="A17" s="15" t="s">
        <v>69</v>
      </c>
      <c r="B17" s="4" t="s">
        <v>70</v>
      </c>
      <c r="C17" s="16" t="n">
        <f aca="false">(-1+SQRT(1+4*C16^2))/(2*C16)</f>
        <v>0.995115952574478</v>
      </c>
      <c r="D17" s="4" t="s">
        <v>13</v>
      </c>
      <c r="E17" s="7" t="s">
        <v>71</v>
      </c>
    </row>
    <row r="18" customFormat="false" ht="15" hidden="false" customHeight="false" outlineLevel="0" collapsed="false">
      <c r="A18" s="15" t="s">
        <v>72</v>
      </c>
      <c r="B18" s="4" t="s">
        <v>73</v>
      </c>
      <c r="C18" s="16" t="n">
        <f aca="false">C17^2</f>
        <v>0.990255759068212</v>
      </c>
      <c r="D18" s="4" t="s">
        <v>13</v>
      </c>
      <c r="E18" s="7" t="s">
        <v>74</v>
      </c>
    </row>
    <row r="19" customFormat="false" ht="15" hidden="false" customHeight="false" outlineLevel="0" collapsed="false">
      <c r="A19" s="15" t="s">
        <v>75</v>
      </c>
      <c r="B19" s="4" t="s">
        <v>76</v>
      </c>
      <c r="C19" s="16" t="n">
        <f aca="false">SQRT(C6*(1-C18)^2/C18)</f>
        <v>0.008670651756625</v>
      </c>
      <c r="D19" s="4" t="s">
        <v>13</v>
      </c>
      <c r="E19" s="7" t="s">
        <v>77</v>
      </c>
    </row>
    <row r="20" customFormat="false" ht="15" hidden="false" customHeight="false" outlineLevel="0" collapsed="false">
      <c r="A20" s="15" t="s">
        <v>78</v>
      </c>
      <c r="B20" s="4" t="s">
        <v>79</v>
      </c>
      <c r="C20" s="16" t="n">
        <f aca="false">(-C19+SQRT(C19^2+4))/2</f>
        <v>0.995674071602767</v>
      </c>
      <c r="D20" s="4" t="s">
        <v>13</v>
      </c>
      <c r="E20" s="7" t="s">
        <v>80</v>
      </c>
    </row>
    <row r="21" customFormat="false" ht="15" hidden="false" customHeight="false" outlineLevel="0" collapsed="false">
      <c r="A21" s="15" t="s">
        <v>81</v>
      </c>
      <c r="B21" s="4" t="s">
        <v>82</v>
      </c>
      <c r="C21" s="16" t="n">
        <f aca="false">C18/C20^2</f>
        <v>0.998879226407329</v>
      </c>
      <c r="D21" s="4" t="s">
        <v>13</v>
      </c>
      <c r="E21" s="7" t="s">
        <v>83</v>
      </c>
    </row>
    <row r="22" customFormat="false" ht="15" hidden="false" customHeight="false" outlineLevel="0" collapsed="false">
      <c r="A22" s="15" t="s">
        <v>84</v>
      </c>
      <c r="B22" s="4" t="s">
        <v>85</v>
      </c>
      <c r="C22" s="16" t="n">
        <f aca="false">1-C20^2</f>
        <v>0.00863314313796848</v>
      </c>
      <c r="D22" s="4" t="s">
        <v>13</v>
      </c>
      <c r="E22" s="7" t="s">
        <v>86</v>
      </c>
    </row>
    <row r="23" customFormat="false" ht="15" hidden="false" customHeight="false" outlineLevel="0" collapsed="false">
      <c r="A23" s="15" t="s">
        <v>87</v>
      </c>
      <c r="B23" s="4" t="s">
        <v>88</v>
      </c>
      <c r="C23" s="19" t="n">
        <f aca="false">-4.342944819*2*LN(C21)/(C9/10000000)</f>
        <v>1.47958286680349</v>
      </c>
      <c r="D23" s="4" t="s">
        <v>89</v>
      </c>
      <c r="E23" s="7" t="s">
        <v>90</v>
      </c>
    </row>
    <row r="25" customFormat="false" ht="15" hidden="false" customHeight="false" outlineLevel="0" collapsed="false">
      <c r="A25" s="9" t="s">
        <v>91</v>
      </c>
    </row>
    <row r="26" customFormat="false" ht="15" hidden="false" customHeight="false" outlineLevel="0" collapsed="false">
      <c r="A26" s="4" t="s">
        <v>92</v>
      </c>
      <c r="B26" s="10"/>
      <c r="C26" s="8" t="n">
        <v>1.3</v>
      </c>
      <c r="D26" s="4" t="s">
        <v>89</v>
      </c>
      <c r="E26" s="7" t="s">
        <v>93</v>
      </c>
    </row>
    <row r="27" customFormat="false" ht="15" hidden="false" customHeight="false" outlineLevel="0" collapsed="false">
      <c r="A27" s="4" t="s">
        <v>94</v>
      </c>
      <c r="B27" s="10"/>
      <c r="C27" s="20" t="n">
        <f aca="false">C23-C26</f>
        <v>0.179582866803487</v>
      </c>
      <c r="D27" s="4" t="s">
        <v>89</v>
      </c>
      <c r="E27" s="7" t="s">
        <v>95</v>
      </c>
    </row>
  </sheetData>
  <mergeCells count="1"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62"/>
  </cols>
  <sheetData>
    <row r="1" customFormat="false" ht="16.15" hidden="false" customHeight="false" outlineLevel="0" collapsed="false">
      <c r="A1" s="1" t="s">
        <v>96</v>
      </c>
    </row>
    <row r="2" customFormat="false" ht="27.75" hidden="false" customHeight="true" outlineLevel="0" collapsed="false">
      <c r="A2" s="14" t="s">
        <v>97</v>
      </c>
      <c r="B2" s="14"/>
      <c r="C2" s="14"/>
      <c r="D2" s="14"/>
      <c r="E2" s="14"/>
    </row>
    <row r="4" customFormat="false" ht="15" hidden="false" customHeight="false" outlineLevel="0" collapsed="false">
      <c r="A4" s="3" t="s">
        <v>98</v>
      </c>
      <c r="B4" s="3" t="s">
        <v>29</v>
      </c>
      <c r="C4" s="3" t="s">
        <v>4</v>
      </c>
      <c r="D4" s="3" t="s">
        <v>99</v>
      </c>
    </row>
    <row r="5" customFormat="false" ht="15" hidden="false" customHeight="false" outlineLevel="0" collapsed="false">
      <c r="A5" s="4" t="s">
        <v>100</v>
      </c>
      <c r="B5" s="8" t="n">
        <v>149</v>
      </c>
      <c r="C5" s="4" t="s">
        <v>101</v>
      </c>
      <c r="D5" s="7" t="s">
        <v>102</v>
      </c>
    </row>
    <row r="6" customFormat="false" ht="15" hidden="false" customHeight="false" outlineLevel="0" collapsed="false">
      <c r="A6" s="4" t="s">
        <v>103</v>
      </c>
      <c r="B6" s="8" t="n">
        <v>15</v>
      </c>
      <c r="C6" s="4" t="s">
        <v>101</v>
      </c>
      <c r="D6" s="7" t="s">
        <v>104</v>
      </c>
    </row>
    <row r="7" customFormat="false" ht="15" hidden="false" customHeight="false" outlineLevel="0" collapsed="false">
      <c r="A7" s="4" t="s">
        <v>105</v>
      </c>
      <c r="B7" s="8" t="n">
        <v>25</v>
      </c>
      <c r="C7" s="4" t="s">
        <v>101</v>
      </c>
      <c r="D7" s="7" t="s">
        <v>106</v>
      </c>
    </row>
    <row r="8" customFormat="false" ht="15" hidden="false" customHeight="false" outlineLevel="0" collapsed="false">
      <c r="A8" s="4" t="s">
        <v>107</v>
      </c>
      <c r="B8" s="8" t="n">
        <v>800</v>
      </c>
      <c r="C8" s="4" t="s">
        <v>108</v>
      </c>
      <c r="D8" s="7" t="s">
        <v>109</v>
      </c>
    </row>
    <row r="9" customFormat="false" ht="15" hidden="false" customHeight="false" outlineLevel="0" collapsed="false">
      <c r="A9" s="4" t="s">
        <v>110</v>
      </c>
      <c r="B9" s="8" t="n">
        <v>1000</v>
      </c>
      <c r="C9" s="4" t="s">
        <v>108</v>
      </c>
      <c r="D9" s="7" t="s">
        <v>111</v>
      </c>
    </row>
    <row r="11" customFormat="false" ht="15" hidden="false" customHeight="false" outlineLevel="0" collapsed="false">
      <c r="A11" s="9" t="s">
        <v>112</v>
      </c>
    </row>
    <row r="12" customFormat="false" ht="15" hidden="false" customHeight="false" outlineLevel="0" collapsed="false">
      <c r="A12" s="3" t="s">
        <v>98</v>
      </c>
      <c r="B12" s="3" t="s">
        <v>29</v>
      </c>
      <c r="C12" s="3" t="s">
        <v>4</v>
      </c>
      <c r="D12" s="3" t="s">
        <v>113</v>
      </c>
    </row>
    <row r="13" customFormat="false" ht="15" hidden="false" customHeight="false" outlineLevel="0" collapsed="false">
      <c r="A13" s="4" t="s">
        <v>114</v>
      </c>
      <c r="B13" s="17" t="n">
        <f aca="false">B5/B6</f>
        <v>9.93333333333333</v>
      </c>
      <c r="C13" s="4" t="s">
        <v>115</v>
      </c>
      <c r="D13" s="7" t="s">
        <v>116</v>
      </c>
    </row>
    <row r="14" customFormat="false" ht="15" hidden="false" customHeight="false" outlineLevel="0" collapsed="false">
      <c r="A14" s="4" t="s">
        <v>117</v>
      </c>
      <c r="B14" s="17" t="n">
        <f aca="false">B5/B7</f>
        <v>5.96</v>
      </c>
      <c r="C14" s="4" t="s">
        <v>115</v>
      </c>
      <c r="D14" s="7" t="s">
        <v>118</v>
      </c>
    </row>
    <row r="15" customFormat="false" ht="15" hidden="false" customHeight="false" outlineLevel="0" collapsed="false">
      <c r="A15" s="4" t="s">
        <v>119</v>
      </c>
      <c r="B15" s="17" t="n">
        <f aca="false">B5*B8/60/24</f>
        <v>82.7777777777778</v>
      </c>
      <c r="C15" s="4" t="s">
        <v>120</v>
      </c>
      <c r="D15" s="7" t="s">
        <v>121</v>
      </c>
    </row>
    <row r="16" customFormat="false" ht="15" hidden="false" customHeight="false" outlineLevel="0" collapsed="false">
      <c r="A16" s="4" t="s">
        <v>122</v>
      </c>
      <c r="B16" s="17" t="n">
        <f aca="false">B5*B9/60/24</f>
        <v>103.472222222222</v>
      </c>
      <c r="C16" s="4" t="s">
        <v>120</v>
      </c>
      <c r="D16" s="7" t="s">
        <v>121</v>
      </c>
    </row>
    <row r="17" customFormat="false" ht="15" hidden="false" customHeight="false" outlineLevel="0" collapsed="false">
      <c r="A17" s="4" t="s">
        <v>123</v>
      </c>
      <c r="B17" s="17" t="n">
        <f aca="false">28*8*60/B8</f>
        <v>16.8</v>
      </c>
      <c r="C17" s="4" t="s">
        <v>101</v>
      </c>
      <c r="D17" s="7" t="s">
        <v>124</v>
      </c>
    </row>
    <row r="19" customFormat="false" ht="15" hidden="false" customHeight="false" outlineLevel="0" collapsed="false">
      <c r="A19" s="9" t="s">
        <v>125</v>
      </c>
    </row>
    <row r="20" customFormat="false" ht="15" hidden="false" customHeight="false" outlineLevel="0" collapsed="false">
      <c r="A20" s="21" t="str">
        <f aca="false">IF(B5&gt;B7,"EXCEEDS the 25 min/sample trigger - Section 7 fallback applies","within threshold")</f>
        <v>EXCEEDS the 25 min/sample trigger - Section 7 fallback applies</v>
      </c>
      <c r="B20" s="21"/>
      <c r="C20" s="21"/>
      <c r="D20" s="21"/>
    </row>
  </sheetData>
  <mergeCells count="2">
    <mergeCell ref="A2:E2"/>
    <mergeCell ref="A20:D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60"/>
  </cols>
  <sheetData>
    <row r="1" customFormat="false" ht="16.15" hidden="false" customHeight="false" outlineLevel="0" collapsed="false">
      <c r="A1" s="1" t="s">
        <v>126</v>
      </c>
    </row>
    <row r="2" customFormat="false" ht="42" hidden="false" customHeight="true" outlineLevel="0" collapsed="false">
      <c r="A2" s="14" t="s">
        <v>127</v>
      </c>
      <c r="B2" s="14"/>
      <c r="C2" s="14"/>
      <c r="D2" s="14"/>
      <c r="E2" s="14"/>
    </row>
    <row r="4" customFormat="false" ht="15" hidden="false" customHeight="false" outlineLevel="0" collapsed="false">
      <c r="A4" s="3" t="s">
        <v>3</v>
      </c>
      <c r="B4" s="3" t="s">
        <v>128</v>
      </c>
      <c r="C4" s="3" t="s">
        <v>129</v>
      </c>
      <c r="D4" s="3" t="s">
        <v>130</v>
      </c>
      <c r="E4" s="3" t="s">
        <v>131</v>
      </c>
    </row>
    <row r="5" customFormat="false" ht="15" hidden="false" customHeight="false" outlineLevel="0" collapsed="false">
      <c r="A5" s="4" t="s">
        <v>132</v>
      </c>
      <c r="B5" s="22" t="n">
        <f aca="false">'2 Physics Cross-Check'!C13</f>
        <v>3.94566101903874</v>
      </c>
      <c r="C5" s="23" t="n">
        <v>4.2</v>
      </c>
      <c r="D5" s="6" t="n">
        <f aca="false">B5/C5</f>
        <v>0.939443099771128</v>
      </c>
      <c r="E5" s="7" t="s">
        <v>133</v>
      </c>
    </row>
    <row r="6" customFormat="false" ht="15" hidden="false" customHeight="false" outlineLevel="0" collapsed="false">
      <c r="A6" s="4" t="s">
        <v>134</v>
      </c>
      <c r="B6" s="24" t="n">
        <v>53916.7</v>
      </c>
      <c r="C6" s="24" t="n">
        <v>4753</v>
      </c>
      <c r="D6" s="6" t="n">
        <f aca="false">B6/C6</f>
        <v>11.3437197559436</v>
      </c>
      <c r="E6" s="7" t="s">
        <v>135</v>
      </c>
    </row>
    <row r="7" customFormat="false" ht="15" hidden="false" customHeight="false" outlineLevel="0" collapsed="false">
      <c r="A7" s="4" t="s">
        <v>136</v>
      </c>
      <c r="B7" s="8" t="n">
        <v>20.6</v>
      </c>
      <c r="C7" s="8" t="n">
        <v>3.9</v>
      </c>
      <c r="D7" s="6" t="n">
        <f aca="false">B7/C7</f>
        <v>5.28205128205128</v>
      </c>
      <c r="E7" s="7" t="s">
        <v>137</v>
      </c>
    </row>
    <row r="9" customFormat="false" ht="61.5" hidden="false" customHeight="true" outlineLevel="0" collapsed="false">
      <c r="A9" s="25" t="s">
        <v>138</v>
      </c>
      <c r="B9" s="25"/>
      <c r="C9" s="25"/>
      <c r="D9" s="25"/>
      <c r="E9" s="25"/>
    </row>
    <row r="12" customFormat="false" ht="15" hidden="false" customHeight="false" outlineLevel="0" collapsed="false">
      <c r="A12" s="9" t="s">
        <v>139</v>
      </c>
    </row>
    <row r="13" customFormat="false" ht="45.75" hidden="false" customHeight="true" outlineLevel="0" collapsed="false">
      <c r="A13" s="26" t="s">
        <v>140</v>
      </c>
      <c r="B13" s="26"/>
      <c r="C13" s="26"/>
      <c r="D13" s="26"/>
      <c r="E13" s="26"/>
    </row>
  </sheetData>
  <mergeCells count="3">
    <mergeCell ref="A2:E2"/>
    <mergeCell ref="A9:E9"/>
    <mergeCell ref="A13:E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2026-09-16T23:01:42Z</dcterms:created>
  <dc:creator>openpyxl</dc:creator>
  <dc:description/>
  <dc:language>en-US</dc:language>
  <cp:lastModifiedBy/>
  <dcterms:modified xsi:type="dcterms:W3CDTF">2026-09-16T23:01:42Z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